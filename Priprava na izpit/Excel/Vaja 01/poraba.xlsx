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ja\Documents\GitHub repositories\racunalniski-praktikum\Priprava na izpit\Excel\Vaja 01\"/>
    </mc:Choice>
  </mc:AlternateContent>
  <xr:revisionPtr revIDLastSave="0" documentId="13_ncr:1_{7359CF16-A2AB-4531-917D-67BA949DC87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2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<sst xmlns="http://schemas.openxmlformats.org/spreadsheetml/2006/main" count="28" uniqueCount="21">
  <si>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</si>
  <si>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</si>
  <si>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</si>
  <si>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</si>
  <si>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</si>
  <si>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</si>
  <si>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</si>
  <si>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</si>
  <si>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</si>
  <si>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</si>
  <si>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Oznake stolpcev</t>
  </si>
  <si>
    <t>maj</t>
  </si>
  <si>
    <t>jun</t>
  </si>
  <si>
    <t>jul</t>
  </si>
  <si>
    <t>avg</t>
  </si>
  <si>
    <t>sep</t>
  </si>
  <si>
    <t>okt</t>
  </si>
  <si>
    <t>Vsota od Prevoženo</t>
  </si>
  <si>
    <t>Vsota Vsota od Prevoženo</t>
  </si>
  <si>
    <t>Vsota Povprečje od Poraba</t>
  </si>
  <si>
    <t>Povprečje od Poraba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</si>
</sst>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&quot;€/l&quot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0" fillId="0" borderId="0" xfId="0" pivotButton="1"/>
    <xf numFmtId="0" fontId="0" fillId="0" borderId="0" xfId="0" applyNumberFormat="1"/>
  </cellXfs>
  <cellStyles count="1">
    <cellStyle name="Navadno" xfId="0" builtinId="0"/>
  </cellStyles>
  <dxfs count="12"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ja" refreshedDate="46062.861889814812" createdVersion="8" refreshedVersion="8" minRefreshableVersion="3" recordCount="19" xr:uid="{94A06BDF-96F1-4E16-BE56-A5696A5B53DE}">
  <cacheSource type="worksheet">
    <worksheetSource name="realna_poraba_cupra__2"/>
  </cacheSource>
  <cacheFields count="9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8"/>
    </cacheField>
    <cacheField name="Litri" numFmtId="2">
      <sharedItems containsSemiMixedTypes="0" containsString="0" containsNumber="1" minValue="34.04" maxValue="43.1"/>
    </cacheField>
    <cacheField name="Plačano" numFmtId="0">
      <sharedItems containsNonDate="0" containsString="0" containsBlank="1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/>
    </cacheField>
    <cacheField name="Poraba" numFmtId="0">
      <sharedItems containsMixedTypes="1" containsNumber="1" minValue="6.3103953147877023" maxValue="8.1008968609865484" count="19">
        <s v=""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Prikaz" numFmtId="0">
      <sharedItems containsString="0" containsBlank="1" containsNumber="1" minValue="6.3103953147877023" maxValue="8.1008968609865484"/>
    </cacheField>
    <cacheField name="Dnevi (Datum)" numFmtId="0" databaseField="0">
      <fieldGroup base="0">
        <rangePr groupBy="days" startDate="2023-05-05T00:00:00" endDate="2023-10-15T00:00:00"/>
        <groupItems count="368">
          <s v="&lt;5.05.2023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vg"/>
          <s v="2.avg"/>
          <s v="3.avg"/>
          <s v="4.avg"/>
          <s v="5.avg"/>
          <s v="6.avg"/>
          <s v="7.avg"/>
          <s v="8.avg"/>
          <s v="9.avg"/>
          <s v="10.avg"/>
          <s v="11.avg"/>
          <s v="12.avg"/>
          <s v="13.avg"/>
          <s v="14.avg"/>
          <s v="15.avg"/>
          <s v="16.avg"/>
          <s v="17.avg"/>
          <s v="18.avg"/>
          <s v="19.avg"/>
          <s v="20.avg"/>
          <s v="21.avg"/>
          <s v="22.avg"/>
          <s v="23.avg"/>
          <s v="24.avg"/>
          <s v="25.avg"/>
          <s v="26.avg"/>
          <s v="27.avg"/>
          <s v="28.avg"/>
          <s v="29.avg"/>
          <s v="30.avg"/>
          <s v="31.av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kt"/>
          <s v="2.okt"/>
          <s v="3.okt"/>
          <s v="4.okt"/>
          <s v="5.okt"/>
          <s v="6.okt"/>
          <s v="7.okt"/>
          <s v="8.okt"/>
          <s v="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15.10.2023"/>
        </groupItems>
      </fieldGroup>
    </cacheField>
    <cacheField name="Meseci (Datum)" numFmtId="0" databaseField="0">
      <fieldGroup base="0">
        <rangePr groupBy="months" startDate="2023-05-05T00:00:00" endDate="2023-10-15T00:00:00"/>
        <groupItems count="14">
          <s v="&lt;5.05.2023"/>
          <s v="jan"/>
          <s v="feb"/>
          <s v="mar"/>
          <s v="apr"/>
          <s v="maj"/>
          <s v="jun"/>
          <s v="jul"/>
          <s v="avg"/>
          <s v="sep"/>
          <s v="okt"/>
          <s v="nov"/>
          <s v="dec"/>
          <s v="&gt;15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m/>
    <n v="41907"/>
    <s v=""/>
    <x v="0"/>
    <m/>
  </r>
  <r>
    <x v="1"/>
    <n v="43.02"/>
    <m/>
    <n v="42521"/>
    <n v="614"/>
    <x v="1"/>
    <n v="7.006514657980456"/>
  </r>
  <r>
    <x v="2"/>
    <n v="41.67"/>
    <m/>
    <n v="43181"/>
    <n v="660"/>
    <x v="2"/>
    <n v="6.3136363636363644"/>
  </r>
  <r>
    <x v="3"/>
    <n v="34.04"/>
    <m/>
    <n v="43696"/>
    <n v="515"/>
    <x v="3"/>
    <n v="6.6097087378640769"/>
  </r>
  <r>
    <x v="4"/>
    <n v="42.42"/>
    <m/>
    <n v="44314"/>
    <n v="618"/>
    <x v="4"/>
    <n v="6.8640776699029127"/>
  </r>
  <r>
    <x v="5"/>
    <n v="43.1"/>
    <m/>
    <n v="44997"/>
    <n v="683"/>
    <x v="5"/>
    <n v="6.3103953147877023"/>
  </r>
  <r>
    <x v="6"/>
    <n v="38.18"/>
    <m/>
    <n v="45546"/>
    <n v="549"/>
    <x v="6"/>
    <n v="6.9544626593806917"/>
  </r>
  <r>
    <x v="7"/>
    <n v="40.659999999999997"/>
    <m/>
    <n v="46126"/>
    <n v="580"/>
    <x v="7"/>
    <n v="7.0103448275862066"/>
  </r>
  <r>
    <x v="8"/>
    <n v="39.17"/>
    <m/>
    <n v="46687"/>
    <n v="561"/>
    <x v="8"/>
    <n v="6.9821746880570412"/>
  </r>
  <r>
    <x v="9"/>
    <n v="40.29"/>
    <m/>
    <n v="47250"/>
    <n v="563"/>
    <x v="9"/>
    <n v="7.1563055062166967"/>
  </r>
  <r>
    <x v="10"/>
    <n v="41.01"/>
    <m/>
    <n v="47867"/>
    <n v="617"/>
    <x v="10"/>
    <n v="6.6466774716369521"/>
  </r>
  <r>
    <x v="11"/>
    <n v="37.18"/>
    <m/>
    <n v="48407"/>
    <n v="540"/>
    <x v="11"/>
    <n v="6.8851851851851844"/>
  </r>
  <r>
    <x v="12"/>
    <n v="41.46"/>
    <m/>
    <n v="49005"/>
    <n v="598"/>
    <x v="12"/>
    <n v="6.9331103678929766"/>
  </r>
  <r>
    <x v="13"/>
    <n v="35.97"/>
    <m/>
    <n v="49480"/>
    <n v="475"/>
    <x v="13"/>
    <n v="7.5726315789473686"/>
  </r>
  <r>
    <x v="14"/>
    <n v="38.74"/>
    <m/>
    <n v="50012"/>
    <n v="532"/>
    <x v="14"/>
    <n v="7.2819548872180455"/>
  </r>
  <r>
    <x v="15"/>
    <n v="36.130000000000003"/>
    <m/>
    <n v="50458"/>
    <n v="446"/>
    <x v="15"/>
    <n v="8.1008968609865484"/>
  </r>
  <r>
    <x v="16"/>
    <n v="38.51"/>
    <m/>
    <n v="50991"/>
    <n v="533"/>
    <x v="16"/>
    <n v="7.2251407129455911"/>
  </r>
  <r>
    <x v="17"/>
    <n v="38.840000000000003"/>
    <m/>
    <n v="51593"/>
    <n v="602"/>
    <x v="17"/>
    <n v="6.4518272425249172"/>
  </r>
  <r>
    <x v="18"/>
    <n v="41.73"/>
    <m/>
    <n v="52176"/>
    <n v="583"/>
    <x v="18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3765A-210B-4F3D-A4B2-BD38F2DC9ACD}" name="Vrtilna tabela4" cacheId="20" dataPosition="0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B30:O33" firstHeaderRow="1" firstDataRow="3" firstDataCol="0"/>
  <pivotFields count="9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showAll="0"/>
    <pivotField numFmtId="3" showAll="0"/>
    <pivotField dataField="1" showAll="0"/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2">
    <field x="-2"/>
    <field x="8"/>
  </colFields>
  <colItems count="14">
    <i>
      <x/>
      <x v="5"/>
    </i>
    <i r="1">
      <x v="6"/>
    </i>
    <i r="1">
      <x v="7"/>
    </i>
    <i r="1">
      <x v="8"/>
    </i>
    <i r="1">
      <x v="9"/>
    </i>
    <i r="1">
      <x v="10"/>
    </i>
    <i i="1">
      <x v="1"/>
      <x v="5"/>
    </i>
    <i r="1" i="1">
      <x v="6"/>
    </i>
    <i r="1" i="1">
      <x v="7"/>
    </i>
    <i r="1" i="1">
      <x v="8"/>
    </i>
    <i r="1" i="1">
      <x v="9"/>
    </i>
    <i r="1" i="1">
      <x v="10"/>
    </i>
    <i t="grand">
      <x/>
    </i>
    <i t="grand" i="1">
      <x/>
    </i>
  </colItems>
  <dataFields count="2">
    <dataField name="Vsota od Prevoženo" fld="4" baseField="0" baseItem="0"/>
    <dataField name="Povprečje od Poraba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10"/>
    <tableColumn id="3" xr3:uid="{19DBC541-3ADF-4E48-8786-6E42DA219788}" uniqueName="3" name="Plačano" queryTableFieldId="3" dataDxfId="9"/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0">
      <calculatedColumnFormula>100*(realna_poraba_cupra__2[[#This Row],[Litri]]/realna_poraba_cupra__2[[#This Row],[Prevoženo]])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5" tableBorderDxfId="4" totalsRowBorderDxfId="3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2"/>
    <tableColumn id="2" xr3:uid="{079EA12A-47EB-F54A-8E37-30D8BCE75150}" name="Bencin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O33"/>
  <sheetViews>
    <sheetView tabSelected="1" zoomScale="120" zoomScaleNormal="120" workbookViewId="0">
      <selection activeCell="D9" sqref="D9"/>
    </sheetView>
  </sheetViews>
  <sheetFormatPr defaultColWidth="11.42578125" defaultRowHeight="15" x14ac:dyDescent="0.25"/>
  <cols>
    <col min="1" max="1" width="3.85546875" customWidth="1"/>
    <col min="2" max="13" width="20.140625" bestFit="1" customWidth="1"/>
    <col min="14" max="14" width="25" bestFit="1" customWidth="1"/>
    <col min="15" max="16" width="25.85546875" bestFit="1" customWidth="1"/>
    <col min="17" max="40" width="19.28515625" bestFit="1" customWidth="1"/>
    <col min="41" max="41" width="25" bestFit="1" customWidth="1"/>
    <col min="42" max="42" width="22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E3" s="2">
        <v>41907</v>
      </c>
      <c r="F3" t="s">
        <v>4</v>
      </c>
      <c r="G3" t="s">
        <v>4</v>
      </c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1"/>
      <c r="E4" s="2">
        <v>42521</v>
      </c>
      <c r="F4" s="2">
        <f>realna_poraba_cupra__2[[#This Row],[Števec]]-E3</f>
        <v>614</v>
      </c>
      <c r="G4" s="3">
        <f>100*(realna_poraba_cupra__2[[#This Row],[Litri]]/realna_poraba_cupra__2[[#This Row],[Prevoženo]])</f>
        <v>7.006514657980456</v>
      </c>
      <c r="H4">
        <f>100*(realna_poraba_cupra__2[[#This Row],[Litri]]/realna_poraba_cupra__2[[#This Row],[Prevoženo]])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E5" s="2">
        <v>43181</v>
      </c>
      <c r="F5" s="2">
        <f>realna_poraba_cupra__2[[#This Row],[Števec]]-E4</f>
        <v>660</v>
      </c>
      <c r="G5" s="3">
        <f>100*(realna_poraba_cupra__2[[#This Row],[Litri]]/realna_poraba_cupra__2[[#This Row],[Prevoženo]])</f>
        <v>6.3136363636363644</v>
      </c>
      <c r="H5">
        <f>100*(realna_poraba_cupra__2[[#This Row],[Litri]]/realna_poraba_cupra__2[[#This Row],[Prevoženo]])</f>
        <v>6.3136363636363644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E6" s="2">
        <v>43696</v>
      </c>
      <c r="F6" s="2">
        <f>realna_poraba_cupra__2[[#This Row],[Števec]]-E5</f>
        <v>515</v>
      </c>
      <c r="G6" s="3">
        <f>100*(realna_poraba_cupra__2[[#This Row],[Litri]]/realna_poraba_cupra__2[[#This Row],[Prevoženo]])</f>
        <v>6.6097087378640769</v>
      </c>
      <c r="H6">
        <f>100*(realna_poraba_cupra__2[[#This Row],[Litri]]/realna_poraba_cupra__2[[#This Row],[Prevoženo]])</f>
        <v>6.6097087378640769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E7" s="2">
        <v>44314</v>
      </c>
      <c r="F7" s="2">
        <f>realna_poraba_cupra__2[[#This Row],[Števec]]-E6</f>
        <v>618</v>
      </c>
      <c r="G7" s="3">
        <f>100*(realna_poraba_cupra__2[[#This Row],[Litri]]/realna_poraba_cupra__2[[#This Row],[Prevoženo]])</f>
        <v>6.8640776699029127</v>
      </c>
      <c r="H7">
        <f>100*(realna_poraba_cupra__2[[#This Row],[Litri]]/realna_poraba_cupra__2[[#This Row],[Prevoženo]])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E8" s="2">
        <v>44997</v>
      </c>
      <c r="F8" s="2">
        <f>realna_poraba_cupra__2[[#This Row],[Števec]]-E7</f>
        <v>683</v>
      </c>
      <c r="G8" s="3">
        <f>100*(realna_poraba_cupra__2[[#This Row],[Litri]]/realna_poraba_cupra__2[[#This Row],[Prevoženo]])</f>
        <v>6.3103953147877023</v>
      </c>
      <c r="H8">
        <f>100*(realna_poraba_cupra__2[[#This Row],[Litri]]/realna_poraba_cupra__2[[#This Row],[Prevoženo]])</f>
        <v>6.3103953147877023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E9" s="2">
        <v>45546</v>
      </c>
      <c r="F9" s="2">
        <f>realna_poraba_cupra__2[[#This Row],[Števec]]-E8</f>
        <v>549</v>
      </c>
      <c r="G9" s="3">
        <f>100*(realna_poraba_cupra__2[[#This Row],[Litri]]/realna_poraba_cupra__2[[#This Row],[Prevoženo]])</f>
        <v>6.9544626593806917</v>
      </c>
      <c r="H9">
        <f>100*(realna_poraba_cupra__2[[#This Row],[Litri]]/realna_poraba_cupra__2[[#This Row],[Prevoženo]])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E10" s="2">
        <v>46126</v>
      </c>
      <c r="F10" s="2">
        <f>realna_poraba_cupra__2[[#This Row],[Števec]]-E9</f>
        <v>580</v>
      </c>
      <c r="G10" s="3">
        <f>100*(realna_poraba_cupra__2[[#This Row],[Litri]]/realna_poraba_cupra__2[[#This Row],[Prevoženo]])</f>
        <v>7.0103448275862066</v>
      </c>
      <c r="H10">
        <f>100*(realna_poraba_cupra__2[[#This Row],[Litri]]/realna_poraba_cupra__2[[#This Row],[Prevoženo]])</f>
        <v>7.0103448275862066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E11" s="2">
        <v>46687</v>
      </c>
      <c r="F11" s="2">
        <f>realna_poraba_cupra__2[[#This Row],[Števec]]-E10</f>
        <v>561</v>
      </c>
      <c r="G11" s="3">
        <f>100*(realna_poraba_cupra__2[[#This Row],[Litri]]/realna_poraba_cupra__2[[#This Row],[Prevoženo]])</f>
        <v>6.9821746880570412</v>
      </c>
      <c r="H11">
        <f>100*(realna_poraba_cupra__2[[#This Row],[Litri]]/realna_poraba_cupra__2[[#This Row],[Prevoženo]])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E12" s="2">
        <v>47250</v>
      </c>
      <c r="F12" s="2">
        <f>realna_poraba_cupra__2[[#This Row],[Števec]]-E11</f>
        <v>563</v>
      </c>
      <c r="G12" s="3">
        <f>100*(realna_poraba_cupra__2[[#This Row],[Litri]]/realna_poraba_cupra__2[[#This Row],[Prevoženo]])</f>
        <v>7.1563055062166967</v>
      </c>
      <c r="H12">
        <f>100*(realna_poraba_cupra__2[[#This Row],[Litri]]/realna_poraba_cupra__2[[#This Row],[Prevoženo]])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E13" s="2">
        <v>47867</v>
      </c>
      <c r="F13" s="2">
        <f>realna_poraba_cupra__2[[#This Row],[Števec]]-E12</f>
        <v>617</v>
      </c>
      <c r="G13" s="3">
        <f>100*(realna_poraba_cupra__2[[#This Row],[Litri]]/realna_poraba_cupra__2[[#This Row],[Prevoženo]])</f>
        <v>6.6466774716369521</v>
      </c>
      <c r="H13">
        <f>100*(realna_poraba_cupra__2[[#This Row],[Litri]]/realna_poraba_cupra__2[[#This Row],[Prevoženo]])</f>
        <v>6.6466774716369521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E14" s="2">
        <v>48407</v>
      </c>
      <c r="F14" s="2">
        <f>realna_poraba_cupra__2[[#This Row],[Števec]]-E13</f>
        <v>540</v>
      </c>
      <c r="G14" s="3">
        <f>100*(realna_poraba_cupra__2[[#This Row],[Litri]]/realna_poraba_cupra__2[[#This Row],[Prevoženo]])</f>
        <v>6.8851851851851844</v>
      </c>
      <c r="H14">
        <f>100*(realna_poraba_cupra__2[[#This Row],[Litri]]/realna_poraba_cupra__2[[#This Row],[Prevoženo]])</f>
        <v>6.8851851851851844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E15" s="2">
        <v>49005</v>
      </c>
      <c r="F15" s="2">
        <f>realna_poraba_cupra__2[[#This Row],[Števec]]-E14</f>
        <v>598</v>
      </c>
      <c r="G15" s="3">
        <f>100*(realna_poraba_cupra__2[[#This Row],[Litri]]/realna_poraba_cupra__2[[#This Row],[Prevoženo]])</f>
        <v>6.9331103678929766</v>
      </c>
      <c r="H15">
        <f>100*(realna_poraba_cupra__2[[#This Row],[Litri]]/realna_poraba_cupra__2[[#This Row],[Prevoženo]])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E16" s="2">
        <v>49480</v>
      </c>
      <c r="F16" s="2">
        <f>realna_poraba_cupra__2[[#This Row],[Števec]]-E15</f>
        <v>475</v>
      </c>
      <c r="G16" s="3">
        <f>100*(realna_poraba_cupra__2[[#This Row],[Litri]]/realna_poraba_cupra__2[[#This Row],[Prevoženo]])</f>
        <v>7.5726315789473686</v>
      </c>
      <c r="H16">
        <f>100*(realna_poraba_cupra__2[[#This Row],[Litri]]/realna_poraba_cupra__2[[#This Row],[Prevoženo]])</f>
        <v>7.5726315789473686</v>
      </c>
      <c r="J16" s="1">
        <v>45111</v>
      </c>
      <c r="K16" s="4">
        <v>1.444</v>
      </c>
    </row>
    <row r="17" spans="2:15" x14ac:dyDescent="0.25">
      <c r="B17" s="1">
        <v>45184</v>
      </c>
      <c r="C17" s="3">
        <v>38.74</v>
      </c>
      <c r="E17" s="2">
        <v>50012</v>
      </c>
      <c r="F17" s="2">
        <f>realna_poraba_cupra__2[[#This Row],[Števec]]-E16</f>
        <v>532</v>
      </c>
      <c r="G17" s="3">
        <f>100*(realna_poraba_cupra__2[[#This Row],[Litri]]/realna_poraba_cupra__2[[#This Row],[Prevoženo]])</f>
        <v>7.2819548872180455</v>
      </c>
      <c r="H17">
        <f>100*(realna_poraba_cupra__2[[#This Row],[Litri]]/realna_poraba_cupra__2[[#This Row],[Prevoženo]])</f>
        <v>7.2819548872180455</v>
      </c>
      <c r="J17" s="1">
        <v>45125</v>
      </c>
      <c r="K17" s="4">
        <v>1.456</v>
      </c>
    </row>
    <row r="18" spans="2:15" x14ac:dyDescent="0.25">
      <c r="B18" s="1">
        <v>45191</v>
      </c>
      <c r="C18" s="3">
        <v>36.130000000000003</v>
      </c>
      <c r="E18" s="2">
        <v>50458</v>
      </c>
      <c r="F18" s="2">
        <f>realna_poraba_cupra__2[[#This Row],[Števec]]-E17</f>
        <v>446</v>
      </c>
      <c r="G18" s="3">
        <f>100*(realna_poraba_cupra__2[[#This Row],[Litri]]/realna_poraba_cupra__2[[#This Row],[Prevoženo]])</f>
        <v>8.1008968609865484</v>
      </c>
      <c r="H18">
        <f>100*(realna_poraba_cupra__2[[#This Row],[Litri]]/realna_poraba_cupra__2[[#This Row],[Prevoženo]])</f>
        <v>8.1008968609865484</v>
      </c>
      <c r="J18" s="1">
        <v>45139</v>
      </c>
      <c r="K18" s="4">
        <v>1.5109999999999999</v>
      </c>
    </row>
    <row r="19" spans="2:15" x14ac:dyDescent="0.25">
      <c r="B19" s="1">
        <v>45198</v>
      </c>
      <c r="C19" s="3">
        <v>38.51</v>
      </c>
      <c r="E19" s="2">
        <v>50991</v>
      </c>
      <c r="F19" s="2">
        <f>realna_poraba_cupra__2[[#This Row],[Števec]]-E18</f>
        <v>533</v>
      </c>
      <c r="G19" s="3">
        <f>100*(realna_poraba_cupra__2[[#This Row],[Litri]]/realna_poraba_cupra__2[[#This Row],[Prevoženo]])</f>
        <v>7.2251407129455911</v>
      </c>
      <c r="H19">
        <f>100*(realna_poraba_cupra__2[[#This Row],[Litri]]/realna_poraba_cupra__2[[#This Row],[Prevoženo]])</f>
        <v>7.2251407129455911</v>
      </c>
      <c r="J19" s="1">
        <v>45155</v>
      </c>
      <c r="K19" s="4">
        <v>1.5109999999999999</v>
      </c>
    </row>
    <row r="20" spans="2:15" x14ac:dyDescent="0.25">
      <c r="B20" s="1">
        <v>45205</v>
      </c>
      <c r="C20" s="3">
        <v>38.840000000000003</v>
      </c>
      <c r="E20" s="2">
        <v>51593</v>
      </c>
      <c r="F20" s="2">
        <f>realna_poraba_cupra__2[[#This Row],[Števec]]-E19</f>
        <v>602</v>
      </c>
      <c r="G20" s="3">
        <f>100*(realna_poraba_cupra__2[[#This Row],[Litri]]/realna_poraba_cupra__2[[#This Row],[Prevoženo]])</f>
        <v>6.4518272425249172</v>
      </c>
      <c r="H20">
        <f>100*(realna_poraba_cupra__2[[#This Row],[Litri]]/realna_poraba_cupra__2[[#This Row],[Prevoženo]])</f>
        <v>6.4518272425249172</v>
      </c>
      <c r="J20" s="1">
        <v>45167</v>
      </c>
      <c r="K20" s="4">
        <v>1.544</v>
      </c>
    </row>
    <row r="21" spans="2:15" x14ac:dyDescent="0.25">
      <c r="B21" s="1">
        <v>45213</v>
      </c>
      <c r="C21" s="3">
        <v>41.73</v>
      </c>
      <c r="E21" s="2">
        <v>52176</v>
      </c>
      <c r="F21" s="2">
        <f>realna_poraba_cupra__2[[#This Row],[Števec]]-E20</f>
        <v>583</v>
      </c>
      <c r="G21" s="3">
        <f>100*(realna_poraba_cupra__2[[#This Row],[Litri]]/realna_poraba_cupra__2[[#This Row],[Prevoženo]])</f>
        <v>7.1578044596912509</v>
      </c>
      <c r="H21">
        <f>100*(realna_poraba_cupra__2[[#This Row],[Litri]]/realna_poraba_cupra__2[[#This Row],[Prevoženo]])</f>
        <v>7.1578044596912509</v>
      </c>
      <c r="J21" s="1">
        <v>45181</v>
      </c>
      <c r="K21" s="4">
        <v>1.5509999999999999</v>
      </c>
    </row>
    <row r="22" spans="2:15" x14ac:dyDescent="0.25">
      <c r="J22" s="1">
        <v>45195</v>
      </c>
      <c r="K22" s="4">
        <v>1.5880000000000001</v>
      </c>
    </row>
    <row r="23" spans="2:15" x14ac:dyDescent="0.25">
      <c r="J23" s="1">
        <v>45209</v>
      </c>
      <c r="K23" s="4">
        <v>1.536</v>
      </c>
    </row>
    <row r="24" spans="2:15" x14ac:dyDescent="0.25">
      <c r="J24" s="1">
        <v>45223</v>
      </c>
      <c r="K24" s="4">
        <v>1.536</v>
      </c>
    </row>
    <row r="25" spans="2:15" x14ac:dyDescent="0.25">
      <c r="J25" s="1">
        <v>45237</v>
      </c>
      <c r="K25" s="4">
        <v>1.534</v>
      </c>
    </row>
    <row r="26" spans="2:15" x14ac:dyDescent="0.25">
      <c r="D26" s="5"/>
      <c r="E26" s="5"/>
    </row>
    <row r="30" spans="2:15" x14ac:dyDescent="0.25">
      <c r="B30" s="6" t="s">
        <v>10</v>
      </c>
    </row>
    <row r="31" spans="2:15" x14ac:dyDescent="0.25">
      <c r="B31" t="s">
        <v>17</v>
      </c>
      <c r="H31" t="s">
        <v>20</v>
      </c>
      <c r="N31" t="s">
        <v>18</v>
      </c>
      <c r="O31" t="s">
        <v>19</v>
      </c>
    </row>
    <row r="32" spans="2:15" x14ac:dyDescent="0.25"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11</v>
      </c>
      <c r="I32" t="s">
        <v>12</v>
      </c>
      <c r="J32" t="s">
        <v>13</v>
      </c>
      <c r="K32" t="s">
        <v>14</v>
      </c>
      <c r="L32" t="s">
        <v>15</v>
      </c>
      <c r="M32" t="s">
        <v>16</v>
      </c>
    </row>
    <row r="33" spans="2:15" x14ac:dyDescent="0.25">
      <c r="B33" s="7">
        <v>1789</v>
      </c>
      <c r="C33" s="7">
        <v>1850</v>
      </c>
      <c r="D33" s="7">
        <v>2321</v>
      </c>
      <c r="E33" s="7">
        <v>1138</v>
      </c>
      <c r="F33" s="7">
        <v>1986</v>
      </c>
      <c r="G33" s="7">
        <v>1185</v>
      </c>
      <c r="H33" s="7">
        <v>6.643286586493633</v>
      </c>
      <c r="I33" s="7">
        <v>6.7096452146904353</v>
      </c>
      <c r="J33" s="7">
        <v>6.9488756233742244</v>
      </c>
      <c r="K33" s="7">
        <v>6.909147776539081</v>
      </c>
      <c r="L33" s="7">
        <v>7.5451560100243888</v>
      </c>
      <c r="M33" s="7">
        <v>6.8048158511080841</v>
      </c>
      <c r="N33" s="7">
        <v>10269</v>
      </c>
      <c r="O33" s="7">
        <v>6.9701582884689435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{7D64514C-B9FF-4E6E-BCD6-D16C9DD3FCB0}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4514C-B9FF-4E6E-BCD6-D16C9DD3FCB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Čater Oblak, Katja</cp:lastModifiedBy>
  <dcterms:created xsi:type="dcterms:W3CDTF">2007-10-01T06:54:22Z</dcterms:created>
  <dcterms:modified xsi:type="dcterms:W3CDTF">2026-02-09T19:42:44Z</dcterms:modified>
</cp:coreProperties>
</file>