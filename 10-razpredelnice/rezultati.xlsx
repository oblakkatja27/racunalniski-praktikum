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c81235\racunalniski-praktikum\racunalniski-praktikum-repositories\racunalniski-praktikum\10-razpredelnice\"/>
    </mc:Choice>
  </mc:AlternateContent>
  <xr:revisionPtr revIDLastSave="0" documentId="13_ncr:1_{428E333D-68F9-4A3D-A3BC-B38CD4A0D7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Rezultati" sheetId="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I4" i="1"/>
  <c r="I5" i="1"/>
  <c r="I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<sst xmlns="http://schemas.openxmlformats.org/spreadsheetml/2006/main" count="138" uniqueCount="74">
  <si>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</si>
  <si>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</si>
  <si>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</si>
  <si>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</si>
  <si>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</si>
  <si>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</si>
  <si>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</si>
  <si>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</si>
  <si>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</si>
  <si>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</si>
  <si>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</si>
  <si>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</si>
  <si>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</si>
  <si>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</si>
  <si>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</si>
  <si>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</si>
  <si>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</si>
  <si>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</si>
  <si>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</si>
  <si>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</si>
  <si>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</si>
  <si>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</si>
  <si>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</si>
  <si>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</si>
  <si>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</si>
  <si>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</si>
  <si>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</si>
  <si>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</si>
  <si>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</si>
  <si>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</si>
  <si>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</si>
  <si>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</si>
  <si>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</si>
  <si>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</si>
  <si>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</si>
  <si>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</si>
  <si>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</si>
  <si>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</si>
  <si>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</si>
  <si>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</si>
  <si>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</si>
  <si>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</si>
  <si>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</si>
  <si>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</si>
  <si>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</si>
  <si>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</si>
  <si>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</si>
  <si>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</si>
  <si>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</si>
  <si>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</si>
  <si>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</si>
  <si>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</si>
  <si>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</si>
  <si>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</si>
  <si>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</si>
  <si>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</si>
  <si>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</si>
  <si>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</si>
  <si>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</si>
  <si>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</si>
  <si>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</si>
  <si>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</si>
  <si>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</si>
  <si>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</si>
  <si>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ne</t>
  </si>
  <si>
    <t>da</t>
  </si>
  <si>
    <t>2021</t>
  </si>
  <si>
    <t>2022</t>
  </si>
  <si>
    <t>Average of Točke</t>
  </si>
  <si>
    <t>Row Labels</t>
  </si>
  <si>
    <t>Grand Total</t>
  </si>
  <si>
    <t>Min of Točke</t>
  </si>
  <si>
    <t>Max of Točke</t>
  </si>
  <si>
    <t>Count of Priimek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</si>
</sst>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 val="0"/>
        <i val="0"/>
        <color rgb="FFC00000"/>
      </font>
    </dxf>
    <dxf>
      <font>
        <b val="0"/>
        <i val="0"/>
        <color rgb="FFC00000"/>
      </font>
    </dxf>
    <dxf>
      <font>
        <color rgb="FFC00000"/>
      </font>
    </dxf>
    <dxf>
      <font>
        <color rgb="FFC00000"/>
      </font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</a:t>
            </a:r>
            <a:r>
              <a:rPr lang="en-US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29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528-4F78-9229-DCE49206F0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8-4F78-9229-DCE49206F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7-4EB9-A3F4-A29BADAB7C35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7-4EB9-A3F4-A29BADAB7C3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477440"/>
        <c:axId val="439477856"/>
      </c:barChart>
      <c:catAx>
        <c:axId val="43947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439477856"/>
        <c:crosses val="autoZero"/>
        <c:auto val="1"/>
        <c:lblAlgn val="ctr"/>
        <c:lblOffset val="100"/>
        <c:noMultiLvlLbl val="0"/>
      </c:catAx>
      <c:valAx>
        <c:axId val="4394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4394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4762</xdr:rowOff>
    </xdr:from>
    <xdr:to>
      <xdr:col>12</xdr:col>
      <xdr:colOff>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EC7E90-AC77-4ABB-AFC6-B19111B67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4761</xdr:colOff>
      <xdr:row>28</xdr:row>
      <xdr:rowOff>4761</xdr:rowOff>
    </xdr:from>
    <xdr:to>
      <xdr:col>12</xdr:col>
      <xdr:colOff>9525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BDF191-D4F6-489C-AE27-166D6ED58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Čater Oblak, Katja" refreshedDate="46000.532326157409" createdVersion="7" refreshedVersion="7" minRefreshableVersion="3" recordCount="28" xr:uid="{E5977BF6-CDEF-4216-8F50-0E879972600A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36BA6-0D5D-40AF-8AF7-37D147398B98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7:L11" firstHeaderRow="0" firstDataRow="1" firstDataCol="1"/>
  <pivotFields count="5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riimek" fld="0" subtotal="count" baseField="0" baseItem="0"/>
    <dataField name="Average of Točke" fld="3" subtotal="average" baseField="0" baseItem="9"/>
    <dataField name="Max of Točke" fld="3" subtotal="max" baseField="2" baseItem="0"/>
    <dataField name="Min of Točke" fld="3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275600-3F82-4836-80A4-10B5D1C44CAF}" name="Table1" displayName="Table1" ref="A1:E8" totalsRowShown="0">
  <autoFilter ref="A1:E8" xr:uid="{E7275600-3F82-4836-80A4-10B5D1C44CAF}"/>
  <tableColumns count="5">
    <tableColumn id="1" xr3:uid="{67F92594-A53A-478E-9428-960961975094}" name="Priimek"/>
    <tableColumn id="2" xr3:uid="{47EAC798-692D-4F5B-8520-1520004AF315}" name="Ime"/>
    <tableColumn id="3" xr3:uid="{5D2F3830-AC1E-4AA6-8537-CE9D8A72C388}" name="Skupina"/>
    <tableColumn id="4" xr3:uid="{3095EA89-00E8-473C-B1D2-D1B7148C8FD1}" name="Točke"/>
    <tableColumn id="5" xr3:uid="{92AE8F94-3B1E-43FB-8E71-C71354DDCC38}" name="Oprav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6">
      <calculatedColumnFormula>IF(Rezultati[[#This Row],[Točke]]&gt;49, "da","ne")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5">
      <calculatedColumnFormula>COUNTIF(Rezultati[Skupina],Skupine[[#This Row],[Test]])</calculatedColumnFormula>
    </tableColumn>
    <tableColumn id="3" xr3:uid="{49F9352C-9597-4E44-8122-AF1CE6CE856F}" name="2022" dataDxfId="4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465C-6487-46A1-9D13-7E7B663CF208}">
  <dimension ref="A1:E8"/>
  <sheetViews>
    <sheetView workbookViewId="0">
      <selection sqref="A1:E8"/>
    </sheetView>
  </sheetViews>
  <sheetFormatPr defaultRowHeight="15" x14ac:dyDescent="0.25"/>
  <cols>
    <col min="1" max="1" width="10" customWidth="1"/>
    <col min="3" max="3" width="10.140625" customWidth="1"/>
    <col min="5" max="5" width="9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28</v>
      </c>
      <c r="B2" t="s">
        <v>29</v>
      </c>
      <c r="C2" t="s">
        <v>15</v>
      </c>
      <c r="D2">
        <v>58</v>
      </c>
      <c r="E2" t="s">
        <v>65</v>
      </c>
    </row>
    <row r="3" spans="1:5" x14ac:dyDescent="0.25">
      <c r="A3" t="s">
        <v>30</v>
      </c>
      <c r="B3" t="s">
        <v>31</v>
      </c>
      <c r="C3" t="s">
        <v>15</v>
      </c>
      <c r="D3">
        <v>66</v>
      </c>
      <c r="E3" t="s">
        <v>65</v>
      </c>
    </row>
    <row r="4" spans="1:5" x14ac:dyDescent="0.25">
      <c r="A4" t="s">
        <v>54</v>
      </c>
      <c r="B4" t="s">
        <v>55</v>
      </c>
      <c r="C4" t="s">
        <v>15</v>
      </c>
      <c r="D4">
        <v>76</v>
      </c>
      <c r="E4" t="s">
        <v>65</v>
      </c>
    </row>
    <row r="5" spans="1:5" x14ac:dyDescent="0.25">
      <c r="A5" t="s">
        <v>24</v>
      </c>
      <c r="B5" t="s">
        <v>25</v>
      </c>
      <c r="C5" t="s">
        <v>15</v>
      </c>
      <c r="D5">
        <v>30</v>
      </c>
      <c r="E5" t="s">
        <v>64</v>
      </c>
    </row>
    <row r="6" spans="1:5" x14ac:dyDescent="0.25">
      <c r="A6" t="s">
        <v>47</v>
      </c>
      <c r="B6" t="s">
        <v>48</v>
      </c>
      <c r="C6" t="s">
        <v>15</v>
      </c>
      <c r="D6">
        <v>44</v>
      </c>
      <c r="E6" t="s">
        <v>64</v>
      </c>
    </row>
    <row r="7" spans="1:5" x14ac:dyDescent="0.25">
      <c r="A7" t="s">
        <v>16</v>
      </c>
      <c r="B7" t="s">
        <v>17</v>
      </c>
      <c r="C7" t="s">
        <v>15</v>
      </c>
      <c r="D7">
        <v>34</v>
      </c>
      <c r="E7" t="s">
        <v>64</v>
      </c>
    </row>
    <row r="8" spans="1:5" x14ac:dyDescent="0.25">
      <c r="A8" t="s">
        <v>41</v>
      </c>
      <c r="B8" t="s">
        <v>42</v>
      </c>
      <c r="C8" t="s">
        <v>15</v>
      </c>
      <c r="D8">
        <v>26</v>
      </c>
      <c r="E8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topLeftCell="A13" workbookViewId="0">
      <selection activeCell="N32" sqref="N32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16" bestFit="1" customWidth="1"/>
    <col min="10" max="10" width="16.28515625" bestFit="1" customWidth="1"/>
    <col min="11" max="11" width="12.7109375" bestFit="1" customWidth="1"/>
    <col min="12" max="12" width="12.425781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67</v>
      </c>
      <c r="K2" t="s">
        <v>66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Row],[Točke]]&gt;49, "da","ne")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>IF(Rezultati[[#This Row],[Točke]]&gt;49, "da","ne")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Row],[Točke]]&gt;49, "da","ne")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>IF(Rezultati[[#This Row],[Točke]]&gt;49, "da","ne")</f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>IF(Rezultati[[#This Row],[Točke]]&gt;49, "da","ne")</f>
        <v>da</v>
      </c>
      <c r="H7" s="3" t="s">
        <v>69</v>
      </c>
      <c r="I7" t="s">
        <v>73</v>
      </c>
      <c r="J7" t="s">
        <v>68</v>
      </c>
      <c r="K7" t="s">
        <v>72</v>
      </c>
      <c r="L7" t="s">
        <v>71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>IF(Rezultati[[#This Row],[Točke]]&gt;49, "da","ne")</f>
        <v>da</v>
      </c>
      <c r="H8" s="4" t="s">
        <v>9</v>
      </c>
      <c r="I8" s="2">
        <v>9</v>
      </c>
      <c r="J8" s="2">
        <v>58.222222222222221</v>
      </c>
      <c r="K8" s="2">
        <v>94</v>
      </c>
      <c r="L8" s="2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>IF(Rezultati[[#This Row],[Točke]]&gt;49, "da","ne")</f>
        <v>da</v>
      </c>
      <c r="H9" s="4" t="s">
        <v>12</v>
      </c>
      <c r="I9" s="2">
        <v>12</v>
      </c>
      <c r="J9" s="2">
        <v>66.5</v>
      </c>
      <c r="K9" s="2">
        <v>100</v>
      </c>
      <c r="L9" s="2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Row],[Točke]]&gt;49, "da","ne")</f>
        <v>ne</v>
      </c>
      <c r="H10" s="4" t="s">
        <v>15</v>
      </c>
      <c r="I10" s="2">
        <v>7</v>
      </c>
      <c r="J10" s="2">
        <v>47.714285714285715</v>
      </c>
      <c r="K10" s="2">
        <v>76</v>
      </c>
      <c r="L10" s="2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Row],[Točke]]&gt;49, "da","ne")</f>
        <v>ne</v>
      </c>
      <c r="H11" s="4" t="s">
        <v>70</v>
      </c>
      <c r="I11" s="2">
        <v>28</v>
      </c>
      <c r="J11" s="2">
        <v>59.142857142857146</v>
      </c>
      <c r="K11" s="2">
        <v>100</v>
      </c>
      <c r="L11" s="2">
        <v>26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Row],[Točke]]&gt;49, "da","ne")</f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Row],[Točke]]&gt;49, "da","ne")</f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Row],[Točke]]&gt;49, "da","ne")</f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Row],[Točke]]&gt;49, "da","ne")</f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Row],[Točke]]&gt;49, "da","ne")</f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Row],[Točke]]&gt;49, "da","ne")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Row],[Točke]]&gt;49, "da","ne")</f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Row],[Točke]]&gt;49, "da","ne")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Row],[Točke]]&gt;49, "da","ne")</f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Row],[Točke]]&gt;49, "da","ne")</f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Row],[Točke]]&gt;49, "da","ne")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Row],[Točke]]&gt;49, "da","ne")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Row],[Točke]]&gt;49, "da","ne")</f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Row],[Točke]]&gt;49, "da","ne")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Row],[Točke]]&gt;49, "da","ne")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Row],[Točke]]&gt;49, "da","ne")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Row],[Točke]]&gt;49, "da","ne")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Row],[Točke]]&gt;49, "da","ne")</f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Row],[Točke]]&gt;49, "da","ne")</f>
        <v>ne</v>
      </c>
    </row>
  </sheetData>
  <conditionalFormatting sqref="B3:B30 C3:C30 E3:E30">
    <cfRule type="expression" dxfId="1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Čater Oblak, Katja</cp:lastModifiedBy>
  <dcterms:created xsi:type="dcterms:W3CDTF">2007-11-10T02:36:44Z</dcterms:created>
  <dcterms:modified xsi:type="dcterms:W3CDTF">2025-12-09T12:12:48Z</dcterms:modified>
</cp:coreProperties>
</file>